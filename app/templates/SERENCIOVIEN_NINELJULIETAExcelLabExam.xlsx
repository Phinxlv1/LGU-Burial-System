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shboard" sheetId="5" r:id="rId1"/>
    <sheet name="Raw_Data" sheetId="1" r:id="rId2"/>
    <sheet name="Cleaned_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<sst xmlns="http://schemas.openxmlformats.org/spreadsheetml/2006/main" count="131" uniqueCount="36">
  <si>
    <t>Student_ID</t>
  </si>
  <si>
    <t>Name</t>
  </si>
  <si>
    <t>Age</t>
  </si>
  <si>
    <t>Gender</t>
  </si>
  <si>
    <t xml:space="preserve">Course </t>
  </si>
  <si>
    <t>Score</t>
  </si>
  <si>
    <t>Attendance</t>
  </si>
  <si>
    <t>Date_Registered</t>
  </si>
  <si>
    <t>Ana Cruz</t>
  </si>
  <si>
    <t>Female</t>
  </si>
  <si>
    <t>IT</t>
  </si>
  <si>
    <t>Ben Lopez</t>
  </si>
  <si>
    <t>Male</t>
  </si>
  <si>
    <t>Tourism</t>
  </si>
  <si>
    <t>Cara Lim</t>
  </si>
  <si>
    <t>Dan Reyes</t>
  </si>
  <si>
    <t>Eva Santos</t>
  </si>
  <si>
    <t>Finn Cruz</t>
  </si>
  <si>
    <t>Gail Tan</t>
  </si>
  <si>
    <t>Henry Yu</t>
  </si>
  <si>
    <t>Ivy Chan</t>
  </si>
  <si>
    <t>Average Score per Course</t>
  </si>
  <si>
    <t>TOURISM</t>
  </si>
  <si>
    <t>Total students per Course</t>
  </si>
  <si>
    <t xml:space="preserve">IT </t>
  </si>
  <si>
    <t>Highest Score</t>
  </si>
  <si>
    <t>Lowest Score</t>
  </si>
  <si>
    <t>Attendance Average</t>
  </si>
  <si>
    <t xml:space="preserve">Gender </t>
  </si>
  <si>
    <t>F</t>
  </si>
  <si>
    <t>female</t>
  </si>
  <si>
    <t>M</t>
  </si>
  <si>
    <t>abc</t>
  </si>
  <si>
    <t>invalid</t>
  </si>
  <si>
    <t>f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</si>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</sst>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58" fontId="0" fillId="3" borderId="0" xfId="0" applyNumberFormat="1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wrapText="1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TOTAL STUDENTS PER COURSE</a:t>
            </a:r>
            <a:endParaRPr lang="en-PH" alt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Dashboard!$A$18</c:f>
              <c:strCache>
                <c:ptCount val="1"/>
                <c:pt idx="0">
                  <c:v>IT 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delete val="1"/>
          </c:dLbls>
          <c:cat>
            <c:numRef>
              <c:f>Dashboard!$H$15</c:f>
              <c:numCache>
                <c:formatCode>General</c:formatCode>
                <c:ptCount val="1"/>
              </c:numCache>
            </c:numRef>
          </c:cat>
          <c:val>
            <c:numRef>
              <c:f>Dashboard!$B$18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1"/>
          <c:order val="1"/>
          <c:tx>
            <c:strRef>
              <c:f>Dashboard!$A$19</c:f>
              <c:strCache>
                <c:ptCount val="1"/>
                <c:pt idx="0">
                  <c:v>TOURISM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delete val="1"/>
          </c:dLbls>
          <c:cat>
            <c:numRef>
              <c:f>Dashboard!$H$15</c:f>
              <c:numCache>
                <c:formatCode>General</c:formatCode>
                <c:ptCount val="1"/>
              </c:numCache>
            </c:numRef>
          </c:cat>
          <c:val>
            <c:numRef>
              <c:f>Dashboard!$B$19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40070912"/>
        <c:axId val="140073216"/>
      </c:barChart>
      <c:catAx>
        <c:axId val="140070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073216"/>
        <c:crosses val="autoZero"/>
        <c:auto val="1"/>
        <c:lblAlgn val="ctr"/>
        <c:lblOffset val="100"/>
        <c:noMultiLvlLbl val="0"/>
      </c:catAx>
      <c:valAx>
        <c:axId val="1400732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0709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5683e184-32aa-4d2b-9ebb-5847b92531d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AVERAGE SCORE PER COURSE</a:t>
            </a:r>
            <a:endParaRPr lang="en-PH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"Average Score per Course"</c:f>
              <c:strCache>
                <c:ptCount val="1"/>
                <c:pt idx="0">
                  <c:v>Average Score per Course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delete val="1"/>
          </c:dLbls>
          <c:cat>
            <c:strRef>
              <c:f>Dashboard!$A$14:$A$15</c:f>
              <c:strCache>
                <c:ptCount val="2"/>
                <c:pt idx="0">
                  <c:v>IT</c:v>
                </c:pt>
                <c:pt idx="1">
                  <c:v>TOURISM</c:v>
                </c:pt>
              </c:strCache>
            </c:strRef>
          </c:cat>
          <c:val>
            <c:numRef>
              <c:f>Dashboard!$B$14:$B$15</c:f>
              <c:numCache>
                <c:formatCode>General</c:formatCode>
                <c:ptCount val="2"/>
                <c:pt idx="0">
                  <c:v>88.3958333333333</c:v>
                </c:pt>
                <c:pt idx="1">
                  <c:v>79.3333333333333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102272"/>
        <c:axId val="142590336"/>
      </c:barChart>
      <c:catAx>
        <c:axId val="1401022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590336"/>
        <c:crosses val="autoZero"/>
        <c:auto val="1"/>
        <c:lblAlgn val="ctr"/>
        <c:lblOffset val="100"/>
        <c:noMultiLvlLbl val="0"/>
      </c:catAx>
      <c:valAx>
        <c:axId val="14259033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1022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4812d53-1314-438b-863e-ca811dfe6d44}"/>
      </c:ext>
    </c:extLst>
  </c:chart>
  <c:spPr>
    <a:ln w="9525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ATTENDANCE AVERAGE PER GENDER</a:t>
            </a:r>
            <a:endParaRPr lang="en-PH" alt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"Gedner Distribution"</c:f>
              <c:strCache>
                <c:ptCount val="1"/>
                <c:pt idx="0">
                  <c:v>Gedner Distribution</c:v>
                </c:pt>
              </c:strCache>
            </c:strRef>
          </c:tx>
          <c:spPr>
            <a:solidFill>
              <a:schemeClr val="accent3"/>
            </a:solidFill>
          </c:spPr>
          <c:explosion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</c:dPt>
          <c:dPt>
            <c:idx val="1"/>
            <c:bubble3D val="0"/>
            <c:spPr>
              <a:solidFill>
                <a:schemeClr val="accent3"/>
              </a:solidFill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Dashboard!$A$28:$A$29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Dashboard!$B$28:$B$29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uri="{0b15fc19-7d7d-44ad-8c2d-2c3a37ce22c3}">
        <chartProps xmlns="https://web.wps.cn/et/2018/main" chartId="{a25e68ab-69b2-4dc6-a9f6-e74d3a7a5f3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266065</xdr:colOff>
      <xdr:row>34</xdr:row>
      <xdr:rowOff>40640</xdr:rowOff>
    </xdr:from>
    <xdr:to>
      <xdr:col>25</xdr:col>
      <xdr:colOff>20320</xdr:colOff>
      <xdr:row>46</xdr:row>
      <xdr:rowOff>78740</xdr:rowOff>
    </xdr:to>
    <xdr:graphicFrame>
      <xdr:nvGraphicFramePr>
        <xdr:cNvPr id="5" name="Chart 4"/>
        <xdr:cNvGraphicFramePr/>
      </xdr:nvGraphicFramePr>
      <xdr:xfrm>
        <a:off x="11983085" y="6258560"/>
        <a:ext cx="4692015" cy="2232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45085</xdr:colOff>
      <xdr:row>32</xdr:row>
      <xdr:rowOff>130175</xdr:rowOff>
    </xdr:from>
    <xdr:to>
      <xdr:col>15</xdr:col>
      <xdr:colOff>349885</xdr:colOff>
      <xdr:row>47</xdr:row>
      <xdr:rowOff>23495</xdr:rowOff>
    </xdr:to>
    <xdr:graphicFrame>
      <xdr:nvGraphicFramePr>
        <xdr:cNvPr id="8" name="Chart 7"/>
        <xdr:cNvGraphicFramePr/>
      </xdr:nvGraphicFramePr>
      <xdr:xfrm>
        <a:off x="6207125" y="598233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473075</xdr:colOff>
      <xdr:row>32</xdr:row>
      <xdr:rowOff>151130</xdr:rowOff>
    </xdr:from>
    <xdr:to>
      <xdr:col>6</xdr:col>
      <xdr:colOff>318135</xdr:colOff>
      <xdr:row>46</xdr:row>
      <xdr:rowOff>151131</xdr:rowOff>
    </xdr:to>
    <xdr:graphicFrame>
      <xdr:nvGraphicFramePr>
        <xdr:cNvPr id="9" name="Chart 8"/>
        <xdr:cNvGraphicFramePr/>
      </xdr:nvGraphicFramePr>
      <xdr:xfrm>
        <a:off x="473075" y="6003290"/>
        <a:ext cx="3998595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59" zoomScaleNormal="59" workbookViewId="0">
      <selection activeCell="H19" sqref="H19"/>
    </sheetView>
  </sheetViews>
  <sheetFormatPr defaultColWidth="9" defaultRowHeight="14.4" outlineLevelCol="7"/>
  <cols>
    <col min="1" max="1" width="12.4259259259259" customWidth="1"/>
    <col min="2" max="2" width="12.1388888888889" customWidth="1"/>
    <col min="7" max="7" width="13" customWidth="1"/>
    <col min="8" max="8" width="16.287037037037" customWidth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s="3">
        <v>1001</v>
      </c>
      <c r="B2" s="3" t="s">
        <v>8</v>
      </c>
      <c r="C2" s="3">
        <v>19</v>
      </c>
      <c r="D2" s="3" t="s">
        <v>9</v>
      </c>
      <c r="E2" s="3" t="s">
        <v>10</v>
      </c>
      <c r="F2" s="3">
        <v>85</v>
      </c>
      <c r="G2" s="4">
        <v>0.9</v>
      </c>
      <c r="H2" s="5">
        <v>45662</v>
      </c>
    </row>
    <row r="3" spans="1:8">
      <c r="A3" s="3">
        <v>1002</v>
      </c>
      <c r="B3" s="3" t="s">
        <v>11</v>
      </c>
      <c r="C3" s="3">
        <v>20</v>
      </c>
      <c r="D3" s="3" t="s">
        <v>12</v>
      </c>
      <c r="E3" s="3" t="s">
        <v>13</v>
      </c>
      <c r="F3" s="3">
        <v>78</v>
      </c>
      <c r="G3" s="4">
        <v>0.85</v>
      </c>
      <c r="H3" s="5">
        <v>45663</v>
      </c>
    </row>
    <row r="4" spans="1:8">
      <c r="A4" s="3">
        <v>1003</v>
      </c>
      <c r="B4" s="3" t="s">
        <v>14</v>
      </c>
      <c r="C4" s="3">
        <f>AVERAGE(C2,C3,C5,C6,C8,C9,C10,C11)</f>
        <v>20.1428571428571</v>
      </c>
      <c r="D4" s="3" t="s">
        <v>9</v>
      </c>
      <c r="E4" s="3" t="s">
        <v>10</v>
      </c>
      <c r="F4" s="3">
        <v>92</v>
      </c>
      <c r="G4" s="4">
        <v>0.95</v>
      </c>
      <c r="H4" s="5">
        <v>45663</v>
      </c>
    </row>
    <row r="5" spans="1:8">
      <c r="A5" s="3">
        <v>1004</v>
      </c>
      <c r="B5" s="3" t="s">
        <v>15</v>
      </c>
      <c r="C5" s="3">
        <v>21</v>
      </c>
      <c r="D5" s="3" t="s">
        <v>12</v>
      </c>
      <c r="E5" s="3" t="s">
        <v>10</v>
      </c>
      <c r="F5" s="3">
        <v>88</v>
      </c>
      <c r="G5" s="4">
        <f>AVERAGE(G2,G3,G4,G6,G7,G8,G9,G10,G11)</f>
        <v>0.89125</v>
      </c>
      <c r="H5" s="5">
        <v>45664</v>
      </c>
    </row>
    <row r="6" spans="1:8">
      <c r="A6" s="3">
        <v>1005</v>
      </c>
      <c r="B6" s="3" t="s">
        <v>16</v>
      </c>
      <c r="C6" s="3">
        <v>20</v>
      </c>
      <c r="D6" s="3" t="s">
        <v>9</v>
      </c>
      <c r="E6" s="3" t="s">
        <v>13</v>
      </c>
      <c r="F6" s="3">
        <v>76</v>
      </c>
      <c r="G6" s="4">
        <v>0.8</v>
      </c>
      <c r="H6" s="5">
        <v>45665</v>
      </c>
    </row>
    <row r="7" spans="1:8">
      <c r="A7" s="3">
        <v>1006</v>
      </c>
      <c r="B7" s="3" t="s">
        <v>17</v>
      </c>
      <c r="C7" s="3">
        <f>AVERAGE(C2,C3,C4,C5,C6,C8,C9,C10,C11)</f>
        <v>20.1428571428571</v>
      </c>
      <c r="D7" s="3" t="s">
        <v>12</v>
      </c>
      <c r="E7" s="3" t="s">
        <v>10</v>
      </c>
      <c r="F7" s="3">
        <v>91</v>
      </c>
      <c r="G7" s="4">
        <v>0.92</v>
      </c>
      <c r="H7" s="5">
        <v>45665</v>
      </c>
    </row>
    <row r="8" spans="1:8">
      <c r="A8" s="3">
        <v>1007</v>
      </c>
      <c r="B8" s="3" t="s">
        <v>18</v>
      </c>
      <c r="C8" s="3">
        <v>22</v>
      </c>
      <c r="D8" s="3" t="s">
        <v>9</v>
      </c>
      <c r="E8" s="3" t="s">
        <v>10</v>
      </c>
      <c r="F8" s="3">
        <f>AVERAGE(F2,F4,F3,F5,F6,F7,F9,F10)</f>
        <v>85.375</v>
      </c>
      <c r="G8" s="4">
        <v>0.88</v>
      </c>
      <c r="H8" s="5">
        <v>45666</v>
      </c>
    </row>
    <row r="9" spans="1:8">
      <c r="A9" s="3">
        <v>1008</v>
      </c>
      <c r="B9" s="3" t="s">
        <v>19</v>
      </c>
      <c r="C9" s="3">
        <v>19</v>
      </c>
      <c r="D9" s="3" t="s">
        <v>12</v>
      </c>
      <c r="E9" s="3" t="s">
        <v>13</v>
      </c>
      <c r="F9" s="3">
        <v>84</v>
      </c>
      <c r="G9" s="4">
        <v>0.9</v>
      </c>
      <c r="H9" s="5">
        <v>45666</v>
      </c>
    </row>
    <row r="10" spans="1:8">
      <c r="A10" s="3">
        <v>1009</v>
      </c>
      <c r="B10" s="3" t="s">
        <v>20</v>
      </c>
      <c r="C10" s="3">
        <v>20</v>
      </c>
      <c r="D10" s="3" t="s">
        <v>9</v>
      </c>
      <c r="E10" s="3" t="s">
        <v>10</v>
      </c>
      <c r="F10" s="3">
        <v>89</v>
      </c>
      <c r="G10" s="4">
        <v>0.93</v>
      </c>
      <c r="H10" s="5">
        <v>45667</v>
      </c>
    </row>
    <row r="13" spans="1:8">
      <c r="A13" s="6" t="s">
        <v>21</v>
      </c>
      <c r="B13" s="6"/>
    </row>
    <row r="14" spans="1:8">
      <c r="A14" s="7" t="s">
        <v>10</v>
      </c>
      <c r="B14" s="11">
        <f>AVERAGE(F2,F4,F5,F7,F8,F10)</f>
        <v>88.3958333333333</v>
      </c>
    </row>
    <row r="15" spans="1:8">
      <c r="A15" s="7" t="s">
        <v>22</v>
      </c>
      <c r="B15" s="11">
        <f>AVERAGE(F3,F6,F9)</f>
        <v>79.3333333333333</v>
      </c>
    </row>
    <row r="17" spans="1:2">
      <c r="A17" s="6" t="s">
        <v>23</v>
      </c>
      <c r="B17" s="6"/>
    </row>
    <row r="18" spans="1:2">
      <c r="A18" s="7" t="s">
        <v>24</v>
      </c>
      <c r="B18" s="1">
        <f>COUNTIF(E2:E10,"IT")</f>
        <v>6</v>
      </c>
    </row>
    <row r="19" spans="1:2">
      <c r="A19" s="7" t="s">
        <v>22</v>
      </c>
      <c r="B19" s="1">
        <f>COUNTIF(E2:E10,"Tourism")</f>
        <v>3</v>
      </c>
    </row>
    <row r="20" spans="1:2">
      <c r="A20" s="1"/>
      <c r="B20" s="1"/>
    </row>
    <row r="21" spans="1:2">
      <c r="A21" s="6" t="s">
        <v>25</v>
      </c>
      <c r="B21" s="1">
        <f>MAX(F2:F10)</f>
        <v>92</v>
      </c>
    </row>
    <row r="22" spans="1:2">
      <c r="A22" s="6" t="s">
        <v>26</v>
      </c>
      <c r="B22" s="1">
        <f>MIN(F2:F10)</f>
        <v>76</v>
      </c>
    </row>
    <row r="23" spans="1:2">
      <c r="A23" s="1"/>
      <c r="B23" s="1"/>
    </row>
    <row r="24" spans="1:2">
      <c r="A24" s="6" t="s">
        <v>27</v>
      </c>
      <c r="B24" s="6"/>
    </row>
    <row r="25" spans="1:2">
      <c r="A25" s="8">
        <f>AVERAGE(G2:G10)</f>
        <v>0.89125</v>
      </c>
      <c r="B25" s="8"/>
    </row>
    <row r="27" spans="1:2">
      <c r="A27" s="6" t="s">
        <v>28</v>
      </c>
      <c r="B27" s="6"/>
    </row>
    <row r="28" spans="1:2">
      <c r="A28" t="s">
        <v>12</v>
      </c>
      <c r="B28">
        <f>COUNTIF(D2:D10,"Male")</f>
        <v>4</v>
      </c>
    </row>
    <row r="29" spans="1:2">
      <c r="A29" t="s">
        <v>9</v>
      </c>
      <c r="B29">
        <f>COUNTIF(D2:D10,"Female")</f>
        <v>5</v>
      </c>
    </row>
  </sheetData>
  <mergeCells count="5">
    <mergeCell ref="A13:B13"/>
    <mergeCell ref="A17:B17"/>
    <mergeCell ref="A24:B24"/>
    <mergeCell ref="A25:B25"/>
    <mergeCell ref="A27:B27"/>
  </mergeCells>
  <dataValidations count="3">
    <dataValidation type="decimal" operator="between" allowBlank="1" showInputMessage="1" showErrorMessage="1" sqref="C2:C10">
      <formula1>17</formula1>
      <formula2>30</formula2>
    </dataValidation>
    <dataValidation type="list" allowBlank="1" showInputMessage="1" showErrorMessage="1" sqref="E2:E10">
      <formula1>"IT,Tourism"</formula1>
    </dataValidation>
    <dataValidation type="decimal" operator="between" allowBlank="1" showInputMessage="1" showErrorMessage="1" sqref="F2:F10">
      <formula1>0</formula1>
      <formula2>100</formula2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22" sqref="G22"/>
    </sheetView>
  </sheetViews>
  <sheetFormatPr defaultColWidth="9" defaultRowHeight="14.4" outlineLevelCol="7"/>
  <cols>
    <col min="1" max="1" width="14.712962962963" style="1" customWidth="1"/>
    <col min="2" max="2" width="11.4259259259259" style="1" customWidth="1"/>
    <col min="3" max="6" width="9.13888888888889" style="1"/>
    <col min="7" max="7" width="13.287037037037" style="1" customWidth="1"/>
    <col min="8" max="8" width="19.5740740740741" style="1" customWidth="1"/>
    <col min="9" max="16384" width="9.13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1001</v>
      </c>
      <c r="B2" s="3" t="s">
        <v>8</v>
      </c>
      <c r="C2" s="3">
        <v>19</v>
      </c>
      <c r="D2" s="3" t="s">
        <v>29</v>
      </c>
      <c r="E2" s="3" t="s">
        <v>10</v>
      </c>
      <c r="F2" s="3">
        <v>85</v>
      </c>
      <c r="G2" s="4">
        <v>0.9</v>
      </c>
      <c r="H2" s="5">
        <v>45662</v>
      </c>
    </row>
    <row r="3" spans="1:8">
      <c r="A3" s="3">
        <v>1002</v>
      </c>
      <c r="B3" s="3" t="s">
        <v>11</v>
      </c>
      <c r="C3" s="3">
        <v>20</v>
      </c>
      <c r="D3" s="3" t="s">
        <v>12</v>
      </c>
      <c r="E3" s="3" t="s">
        <v>13</v>
      </c>
      <c r="F3" s="3">
        <v>78</v>
      </c>
      <c r="G3" s="4">
        <v>0.85</v>
      </c>
      <c r="H3" s="5">
        <v>45663</v>
      </c>
    </row>
    <row r="4" spans="1:8">
      <c r="A4" s="3">
        <v>1003</v>
      </c>
      <c r="B4" s="3" t="s">
        <v>14</v>
      </c>
      <c r="C4" s="3"/>
      <c r="D4" s="3" t="s">
        <v>30</v>
      </c>
      <c r="E4" s="3" t="s">
        <v>10</v>
      </c>
      <c r="F4" s="3">
        <v>92</v>
      </c>
      <c r="G4" s="4">
        <v>0.95</v>
      </c>
      <c r="H4" s="5">
        <v>45663</v>
      </c>
    </row>
    <row r="5" spans="1:8">
      <c r="A5" s="3">
        <v>1004</v>
      </c>
      <c r="B5" s="3" t="s">
        <v>15</v>
      </c>
      <c r="C5" s="3">
        <v>21</v>
      </c>
      <c r="D5" s="3" t="s">
        <v>31</v>
      </c>
      <c r="E5" s="3" t="s">
        <v>10</v>
      </c>
      <c r="F5" s="3">
        <v>88</v>
      </c>
      <c r="G5" s="3"/>
      <c r="H5" s="5">
        <v>45664</v>
      </c>
    </row>
    <row r="6" spans="1:8">
      <c r="A6" s="3">
        <v>1005</v>
      </c>
      <c r="B6" s="3" t="s">
        <v>16</v>
      </c>
      <c r="C6" s="3">
        <v>20</v>
      </c>
      <c r="D6" s="3" t="s">
        <v>29</v>
      </c>
      <c r="E6" s="3" t="s">
        <v>13</v>
      </c>
      <c r="F6" s="3">
        <v>76</v>
      </c>
      <c r="G6" s="4">
        <v>0.8</v>
      </c>
      <c r="H6" s="5">
        <v>45665</v>
      </c>
    </row>
    <row r="7" spans="1:8">
      <c r="A7" s="3">
        <v>1006</v>
      </c>
      <c r="B7" s="3" t="s">
        <v>17</v>
      </c>
      <c r="C7" s="3">
        <v>-1</v>
      </c>
      <c r="D7" s="3" t="s">
        <v>12</v>
      </c>
      <c r="E7" s="3" t="s">
        <v>10</v>
      </c>
      <c r="F7" s="3">
        <v>91</v>
      </c>
      <c r="G7" s="4">
        <v>0.92</v>
      </c>
      <c r="H7" s="5">
        <v>45665</v>
      </c>
    </row>
    <row r="8" spans="1:8">
      <c r="A8" s="3">
        <v>1002</v>
      </c>
      <c r="B8" s="3" t="s">
        <v>11</v>
      </c>
      <c r="C8" s="3">
        <v>20</v>
      </c>
      <c r="D8" s="3" t="s">
        <v>12</v>
      </c>
      <c r="E8" s="3" t="s">
        <v>13</v>
      </c>
      <c r="F8" s="3">
        <v>78</v>
      </c>
      <c r="G8" s="4">
        <v>0.85</v>
      </c>
      <c r="H8" s="5">
        <v>45663</v>
      </c>
    </row>
    <row r="9" spans="1:8">
      <c r="A9" s="3">
        <v>1007</v>
      </c>
      <c r="B9" s="3" t="s">
        <v>18</v>
      </c>
      <c r="C9" s="3">
        <v>22</v>
      </c>
      <c r="D9" s="3" t="s">
        <v>9</v>
      </c>
      <c r="E9" s="3" t="s">
        <v>10</v>
      </c>
      <c r="F9" s="3" t="s">
        <v>32</v>
      </c>
      <c r="G9" s="4">
        <v>0.88</v>
      </c>
      <c r="H9" s="5">
        <v>45666</v>
      </c>
    </row>
    <row r="10" spans="1:8">
      <c r="A10" s="3">
        <v>1008</v>
      </c>
      <c r="B10" s="3" t="s">
        <v>19</v>
      </c>
      <c r="C10" s="3">
        <v>19</v>
      </c>
      <c r="D10" s="3" t="s">
        <v>31</v>
      </c>
      <c r="E10" s="3" t="s">
        <v>13</v>
      </c>
      <c r="F10" s="3">
        <v>84</v>
      </c>
      <c r="G10" s="4">
        <v>0.9</v>
      </c>
      <c r="H10" s="3" t="s">
        <v>33</v>
      </c>
    </row>
    <row r="11" spans="1:8">
      <c r="A11" s="3">
        <v>1009</v>
      </c>
      <c r="B11" s="3" t="s">
        <v>20</v>
      </c>
      <c r="C11" s="3">
        <v>20</v>
      </c>
      <c r="D11" s="3" t="s">
        <v>34</v>
      </c>
      <c r="E11" s="3" t="s">
        <v>10</v>
      </c>
      <c r="F11" s="3">
        <v>89</v>
      </c>
      <c r="G11" s="4">
        <v>0.93</v>
      </c>
      <c r="H11" s="5">
        <v>45667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C11" sqref="C11"/>
    </sheetView>
  </sheetViews>
  <sheetFormatPr defaultColWidth="9" defaultRowHeight="14.4" outlineLevelCol="7"/>
  <cols>
    <col min="1" max="1" width="14.712962962963" style="1" customWidth="1"/>
    <col min="2" max="2" width="28.5555555555556" style="1" customWidth="1"/>
    <col min="3" max="3" width="22.1111111111111" style="1" customWidth="1"/>
    <col min="4" max="4" width="13.3333333333333" style="1" customWidth="1"/>
    <col min="5" max="5" width="14.6666666666667" style="1" customWidth="1"/>
    <col min="6" max="6" width="13.1111111111111" style="1" customWidth="1"/>
    <col min="7" max="7" width="22.1111111111111" style="1" customWidth="1"/>
    <col min="8" max="8" width="19.5740740740741" style="1" customWidth="1"/>
    <col min="9" max="16384" width="9.13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1001</v>
      </c>
      <c r="B2" s="3" t="s">
        <v>8</v>
      </c>
      <c r="C2" s="3">
        <v>19</v>
      </c>
      <c r="D2" s="3" t="s">
        <v>35</v>
      </c>
      <c r="E2" s="3" t="s">
        <v>10</v>
      </c>
      <c r="F2" s="3">
        <v>85</v>
      </c>
      <c r="G2" s="4">
        <v>0.9</v>
      </c>
      <c r="H2" s="5">
        <v>45662</v>
      </c>
    </row>
    <row r="3" spans="1:8">
      <c r="A3" s="3">
        <v>1002</v>
      </c>
      <c r="B3" s="3" t="s">
        <v>11</v>
      </c>
      <c r="C3" s="3">
        <v>20</v>
      </c>
      <c r="D3" s="3" t="s">
        <v>12</v>
      </c>
      <c r="E3" s="3" t="s">
        <v>13</v>
      </c>
      <c r="F3" s="3">
        <v>78</v>
      </c>
      <c r="G3" s="4">
        <v>0.85</v>
      </c>
      <c r="H3" s="5">
        <v>45663</v>
      </c>
    </row>
    <row r="4" spans="1:8">
      <c r="A4" s="3">
        <v>1003</v>
      </c>
      <c r="B4" s="3" t="s">
        <v>14</v>
      </c>
      <c r="C4" s="3">
        <f>AVERAGE(C2,C3,C5,C6,C8,C9,C10,C11)</f>
        <v>20.1428571428571</v>
      </c>
      <c r="D4" s="3" t="s">
        <v>9</v>
      </c>
      <c r="E4" s="3" t="s">
        <v>10</v>
      </c>
      <c r="F4" s="3">
        <v>92</v>
      </c>
      <c r="G4" s="4">
        <v>0.95</v>
      </c>
      <c r="H4" s="5">
        <v>45663</v>
      </c>
    </row>
    <row r="5" spans="1:8">
      <c r="A5" s="3">
        <v>1004</v>
      </c>
      <c r="B5" s="3" t="s">
        <v>15</v>
      </c>
      <c r="C5" s="3">
        <v>21</v>
      </c>
      <c r="D5" s="3" t="s">
        <v>12</v>
      </c>
      <c r="E5" s="3" t="s">
        <v>10</v>
      </c>
      <c r="F5" s="3">
        <v>88</v>
      </c>
      <c r="G5" s="4">
        <f>AVERAGE(G2,G3,G4,G6,G7,G8,G9,G10,G11)</f>
        <v>0.89125</v>
      </c>
      <c r="H5" s="5">
        <v>45664</v>
      </c>
    </row>
    <row r="6" spans="1:8">
      <c r="A6" s="3">
        <v>1005</v>
      </c>
      <c r="B6" s="3" t="s">
        <v>16</v>
      </c>
      <c r="C6" s="3">
        <v>20</v>
      </c>
      <c r="D6" s="3" t="s">
        <v>35</v>
      </c>
      <c r="E6" s="3" t="s">
        <v>13</v>
      </c>
      <c r="F6" s="3">
        <v>76</v>
      </c>
      <c r="G6" s="4">
        <v>0.8</v>
      </c>
      <c r="H6" s="5">
        <v>45665</v>
      </c>
    </row>
    <row r="7" spans="1:8">
      <c r="A7" s="3">
        <v>1006</v>
      </c>
      <c r="B7" s="3" t="s">
        <v>17</v>
      </c>
      <c r="C7" s="3">
        <f>AVERAGE(C2,C3,C4,C5,C6,C8,C9,C10,C11)</f>
        <v>20.1428571428571</v>
      </c>
      <c r="D7" s="3" t="s">
        <v>12</v>
      </c>
      <c r="E7" s="3" t="s">
        <v>10</v>
      </c>
      <c r="F7" s="3">
        <v>91</v>
      </c>
      <c r="G7" s="4">
        <v>0.92</v>
      </c>
      <c r="H7" s="5">
        <v>45665</v>
      </c>
    </row>
    <row r="8" spans="1:8">
      <c r="A8" s="3">
        <v>1007</v>
      </c>
      <c r="B8" s="3" t="s">
        <v>18</v>
      </c>
      <c r="C8" s="3">
        <v>22</v>
      </c>
      <c r="D8" s="3" t="s">
        <v>9</v>
      </c>
      <c r="E8" s="3" t="s">
        <v>10</v>
      </c>
      <c r="F8" s="3">
        <f>AVERAGE(F2,F4,F3,F5,F6,F7,F9,F10)</f>
        <v>85.375</v>
      </c>
      <c r="G8" s="4">
        <v>0.88</v>
      </c>
      <c r="H8" s="5">
        <v>45666</v>
      </c>
    </row>
    <row r="9" spans="1:8">
      <c r="A9" s="3">
        <v>1008</v>
      </c>
      <c r="B9" s="3" t="s">
        <v>19</v>
      </c>
      <c r="C9" s="3">
        <v>19</v>
      </c>
      <c r="D9" s="3" t="s">
        <v>12</v>
      </c>
      <c r="E9" s="3" t="s">
        <v>13</v>
      </c>
      <c r="F9" s="3">
        <v>84</v>
      </c>
      <c r="G9" s="4">
        <v>0.9</v>
      </c>
      <c r="H9" s="5">
        <v>45666</v>
      </c>
    </row>
    <row r="10" spans="1:8">
      <c r="A10" s="3">
        <v>1009</v>
      </c>
      <c r="B10" s="3" t="s">
        <v>20</v>
      </c>
      <c r="C10" s="3">
        <v>20</v>
      </c>
      <c r="D10" s="3" t="s">
        <v>9</v>
      </c>
      <c r="E10" s="3" t="s">
        <v>10</v>
      </c>
      <c r="F10" s="3">
        <v>89</v>
      </c>
      <c r="G10" s="4">
        <v>0.93</v>
      </c>
      <c r="H10" s="5">
        <v>45667</v>
      </c>
    </row>
    <row r="11" spans="1:8">
      <c r="A11"/>
      <c r="B11"/>
      <c r="C11"/>
      <c r="D11"/>
      <c r="E11"/>
      <c r="F11"/>
      <c r="G11"/>
      <c r="H11"/>
    </row>
    <row r="13" spans="1:8">
      <c r="A13" s="6" t="s">
        <v>21</v>
      </c>
      <c r="B13" s="7"/>
    </row>
    <row r="14" spans="1:8">
      <c r="A14" s="7" t="s">
        <v>10</v>
      </c>
      <c r="B14" s="1">
        <f>AVERAGE(F2,F4,F5,F7,F8,F10)</f>
        <v>88.3958333333333</v>
      </c>
    </row>
    <row r="15" spans="1:8">
      <c r="A15" s="7" t="s">
        <v>22</v>
      </c>
      <c r="B15" s="1">
        <f>AVERAGE(F3,F6,F9)</f>
        <v>79.3333333333333</v>
      </c>
    </row>
    <row r="17" spans="1:2">
      <c r="A17" s="6" t="s">
        <v>23</v>
      </c>
      <c r="B17" s="7"/>
    </row>
    <row r="18" spans="1:2">
      <c r="A18" s="7" t="s">
        <v>24</v>
      </c>
      <c r="B18" s="1">
        <f>COUNTIF(E2:E10,"IT")</f>
        <v>6</v>
      </c>
    </row>
    <row r="19" spans="1:2">
      <c r="A19" s="7" t="s">
        <v>22</v>
      </c>
      <c r="B19" s="1">
        <f>COUNTIF(E2:E10,"Tourism")</f>
        <v>3</v>
      </c>
    </row>
    <row r="21" spans="1:2">
      <c r="A21" s="7" t="s">
        <v>25</v>
      </c>
      <c r="B21" s="1">
        <f>MAX(F2:F10)</f>
        <v>92</v>
      </c>
    </row>
    <row r="22" spans="1:2">
      <c r="A22" s="7" t="s">
        <v>26</v>
      </c>
      <c r="B22" s="1">
        <f>MIN(F2:F10)</f>
        <v>76</v>
      </c>
    </row>
    <row r="24" spans="1:2">
      <c r="A24" s="7" t="s">
        <v>27</v>
      </c>
      <c r="B24" s="7"/>
    </row>
    <row r="25" spans="1:2">
      <c r="A25" s="8">
        <f>AVERAGE(G2:G10)</f>
        <v>0.89125</v>
      </c>
      <c r="B25" s="9"/>
    </row>
  </sheetData>
  <mergeCells count="4">
    <mergeCell ref="A13:B13"/>
    <mergeCell ref="A17:B17"/>
    <mergeCell ref="A24:B24"/>
    <mergeCell ref="A25:B25"/>
  </mergeCells>
  <dataValidations count="3">
    <dataValidation type="decimal" operator="between" allowBlank="1" showInputMessage="1" showErrorMessage="1" sqref="C2:C10">
      <formula1>17</formula1>
      <formula2>30</formula2>
    </dataValidation>
    <dataValidation type="list" allowBlank="1" showInputMessage="1" showErrorMessage="1" sqref="E2:E10">
      <formula1>"IT,Tourism"</formula1>
    </dataValidation>
    <dataValidation type="decimal" operator="between" allowBlank="1" showInputMessage="1" showErrorMessage="1" sqref="F2:F10">
      <formula1>0</formula1>
      <formula2>100</formula2>
    </dataValidation>
  </dataValidations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Raw_Data</vt:lpstr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</dc:creator>
  <cp:lastModifiedBy>jelou bagotlo</cp:lastModifiedBy>
  <dcterms:created xsi:type="dcterms:W3CDTF">2026-03-25T05:59:00Z</dcterms:created>
  <dcterms:modified xsi:type="dcterms:W3CDTF">2026-03-25T07:45:08Z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57F05C60A4774CBCB2A6FA860F0B10D5_13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